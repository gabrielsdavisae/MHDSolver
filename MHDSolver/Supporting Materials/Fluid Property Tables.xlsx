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Gabriel\source\repos\MHDSolver\MHDSolver\"/>
    </mc:Choice>
  </mc:AlternateContent>
  <xr:revisionPtr revIDLastSave="0" documentId="13_ncr:1_{A70686FA-85DB-4120-8109-C9012A0D4CE1}" xr6:coauthVersionLast="47" xr6:coauthVersionMax="47" xr10:uidLastSave="{00000000-0000-0000-0000-000000000000}"/>
  <bookViews>
    <workbookView xWindow="-108" yWindow="-108" windowWidth="23256" windowHeight="12456" activeTab="1" xr2:uid="{B72E1B63-DAA5-436B-BA71-23BA4AA43AD9}"/>
  </bookViews>
  <sheets>
    <sheet name="Property Charts" sheetId="2" r:id="rId1"/>
    <sheet name="35PSU Saltwater"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2" i="1" l="1"/>
  <c r="C11" i="1"/>
  <c r="C10" i="1"/>
  <c r="C9" i="1"/>
  <c r="C8" i="1"/>
  <c r="C7" i="1"/>
  <c r="C6" i="1"/>
  <c r="C5" i="1"/>
  <c r="C4" i="1"/>
  <c r="C3" i="1"/>
  <c r="C2" i="1"/>
  <c r="C12" i="2"/>
  <c r="C11" i="2"/>
  <c r="C10" i="2"/>
  <c r="C9" i="2"/>
  <c r="C8" i="2"/>
  <c r="C7" i="2"/>
  <c r="C6" i="2"/>
  <c r="C5" i="2"/>
  <c r="C4" i="2"/>
  <c r="C3" i="2"/>
  <c r="C2" i="2"/>
</calcChain>
</file>

<file path=xl/sharedStrings.xml><?xml version="1.0" encoding="utf-8"?>
<sst xmlns="http://schemas.openxmlformats.org/spreadsheetml/2006/main" count="25" uniqueCount="15">
  <si>
    <t>Temperature</t>
  </si>
  <si>
    <t>Density</t>
  </si>
  <si>
    <t>Viscosity</t>
  </si>
  <si>
    <t>C</t>
  </si>
  <si>
    <t>kg/m^3</t>
  </si>
  <si>
    <t>Pa S</t>
  </si>
  <si>
    <t>J/kgK</t>
  </si>
  <si>
    <t>W/mK</t>
  </si>
  <si>
    <t>This is how the structure of the spreadsheet for each fluid should be laid out. The units at the bottom are included for reference only, do not include them or else the .csv will generate incorrectly.</t>
  </si>
  <si>
    <t>Thermal_Conductivity</t>
  </si>
  <si>
    <t>Electrical_Conductivity</t>
  </si>
  <si>
    <t>Specific_Heat_CP</t>
  </si>
  <si>
    <t>Specific_Heat_CV</t>
  </si>
  <si>
    <t>R_Gas_Constant</t>
  </si>
  <si>
    <t>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</si>
</sst>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xf>
    <xf numFmtId="0" fontId="0" fillId="0" borderId="0" xfId="0"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86041-8097-4F39-9493-8B504780A508}">
  <dimension ref="A1:K13"/>
  <sheetViews>
    <sheetView workbookViewId="0">
      <selection activeCell="D26" sqref="D26"/>
    </sheetView>
  </sheetViews>
  <sheetFormatPr defaultRowHeight="14.4" x14ac:dyDescent="0.3"/>
  <cols>
    <col min="1" max="1" width="11.33203125" bestFit="1" customWidth="1"/>
    <col min="2" max="2" width="7" bestFit="1" customWidth="1"/>
    <col min="3" max="3" width="9" bestFit="1" customWidth="1"/>
    <col min="4" max="4" width="17.88671875" bestFit="1" customWidth="1"/>
    <col min="5" max="5" width="19.33203125" bestFit="1" customWidth="1"/>
    <col min="6" max="7" width="15.33203125" bestFit="1" customWidth="1"/>
    <col min="8" max="8" width="14.21875" bestFit="1" customWidth="1"/>
  </cols>
  <sheetData>
    <row r="1" spans="1:11" ht="14.4" customHeight="1" x14ac:dyDescent="0.3">
      <c r="A1" t="s">
        <v>0</v>
      </c>
      <c r="B1" t="s">
        <v>1</v>
      </c>
      <c r="C1" t="s">
        <v>2</v>
      </c>
      <c r="D1" t="s">
        <v>9</v>
      </c>
      <c r="E1" t="s">
        <v>10</v>
      </c>
      <c r="F1" t="s">
        <v>11</v>
      </c>
      <c r="G1" t="s">
        <v>12</v>
      </c>
      <c r="H1" s="1" t="s">
        <v>13</v>
      </c>
      <c r="I1" s="2" t="s">
        <v>8</v>
      </c>
      <c r="J1" s="2"/>
      <c r="K1" s="2"/>
    </row>
    <row r="2" spans="1:11" x14ac:dyDescent="0.3">
      <c r="A2">
        <v>0</v>
      </c>
      <c r="B2">
        <v>999.84</v>
      </c>
      <c r="C2">
        <f>1.792*10^-3</f>
        <v>1.792E-3</v>
      </c>
      <c r="D2">
        <v>0.56100000000000005</v>
      </c>
      <c r="E2">
        <v>2.92</v>
      </c>
      <c r="F2">
        <v>4217</v>
      </c>
      <c r="G2">
        <v>4212</v>
      </c>
      <c r="H2" s="1">
        <v>0</v>
      </c>
      <c r="I2" s="2"/>
      <c r="J2" s="2"/>
      <c r="K2" s="2"/>
    </row>
    <row r="3" spans="1:11" x14ac:dyDescent="0.3">
      <c r="A3">
        <v>10</v>
      </c>
      <c r="B3">
        <v>999.7</v>
      </c>
      <c r="C3">
        <f>1.308*10^-3</f>
        <v>1.3080000000000001E-3</v>
      </c>
      <c r="D3">
        <v>0.57999999999999996</v>
      </c>
      <c r="E3">
        <v>3.8</v>
      </c>
      <c r="F3">
        <v>4192</v>
      </c>
      <c r="G3">
        <v>4188</v>
      </c>
      <c r="H3" s="1">
        <v>0</v>
      </c>
      <c r="I3" s="2"/>
      <c r="J3" s="2"/>
      <c r="K3" s="2"/>
    </row>
    <row r="4" spans="1:11" x14ac:dyDescent="0.3">
      <c r="A4">
        <v>20</v>
      </c>
      <c r="B4">
        <v>998.21</v>
      </c>
      <c r="C4">
        <f>1.002*10^-3</f>
        <v>1.0020000000000001E-3</v>
      </c>
      <c r="D4">
        <v>0.59799999999999998</v>
      </c>
      <c r="E4">
        <v>4.72</v>
      </c>
      <c r="F4">
        <v>4182</v>
      </c>
      <c r="G4">
        <v>4157</v>
      </c>
      <c r="H4" s="1">
        <v>0</v>
      </c>
      <c r="I4" s="2"/>
      <c r="J4" s="2"/>
      <c r="K4" s="2"/>
    </row>
    <row r="5" spans="1:11" x14ac:dyDescent="0.3">
      <c r="A5">
        <v>30</v>
      </c>
      <c r="B5">
        <v>995.65</v>
      </c>
      <c r="C5">
        <f>0.798*10^-3</f>
        <v>7.980000000000001E-4</v>
      </c>
      <c r="D5">
        <v>0.61499999999999999</v>
      </c>
      <c r="E5">
        <v>5.7</v>
      </c>
      <c r="F5">
        <v>4178</v>
      </c>
      <c r="G5">
        <v>4140</v>
      </c>
      <c r="H5" s="1">
        <v>0</v>
      </c>
      <c r="I5" s="2"/>
      <c r="J5" s="2"/>
      <c r="K5" s="2"/>
    </row>
    <row r="6" spans="1:11" x14ac:dyDescent="0.3">
      <c r="A6">
        <v>40</v>
      </c>
      <c r="B6">
        <v>992.22</v>
      </c>
      <c r="C6">
        <f>0.653*10^-3</f>
        <v>6.5300000000000004E-4</v>
      </c>
      <c r="D6">
        <v>0.63100000000000001</v>
      </c>
      <c r="E6">
        <v>6.72</v>
      </c>
      <c r="F6">
        <v>4179</v>
      </c>
      <c r="G6">
        <v>4125</v>
      </c>
      <c r="H6" s="1">
        <v>0</v>
      </c>
      <c r="I6" s="2"/>
      <c r="J6" s="2"/>
      <c r="K6" s="2"/>
    </row>
    <row r="7" spans="1:11" x14ac:dyDescent="0.3">
      <c r="A7">
        <v>50</v>
      </c>
      <c r="B7">
        <v>988.04</v>
      </c>
      <c r="C7">
        <f>0.549*10^-3</f>
        <v>5.4900000000000001E-4</v>
      </c>
      <c r="D7">
        <v>0.64400000000000002</v>
      </c>
      <c r="E7">
        <v>7.79</v>
      </c>
      <c r="F7">
        <v>4181</v>
      </c>
      <c r="G7">
        <v>4112</v>
      </c>
      <c r="H7" s="1">
        <v>0</v>
      </c>
      <c r="I7" s="2"/>
      <c r="J7" s="2"/>
      <c r="K7" s="2"/>
    </row>
    <row r="8" spans="1:11" x14ac:dyDescent="0.3">
      <c r="A8">
        <v>60</v>
      </c>
      <c r="B8">
        <v>983.21</v>
      </c>
      <c r="C8">
        <f>0.467*10^-3</f>
        <v>4.6700000000000002E-4</v>
      </c>
      <c r="D8">
        <v>0.65400000000000003</v>
      </c>
      <c r="E8">
        <v>8.89</v>
      </c>
      <c r="F8">
        <v>4184</v>
      </c>
      <c r="G8">
        <v>4100</v>
      </c>
      <c r="H8" s="1">
        <v>0</v>
      </c>
      <c r="I8" s="2"/>
      <c r="J8" s="2"/>
      <c r="K8" s="2"/>
    </row>
    <row r="9" spans="1:11" x14ac:dyDescent="0.3">
      <c r="A9">
        <v>70</v>
      </c>
      <c r="B9">
        <v>977.78</v>
      </c>
      <c r="C9">
        <f>0.404*10^-3</f>
        <v>4.0400000000000001E-4</v>
      </c>
      <c r="D9">
        <v>0.66300000000000003</v>
      </c>
      <c r="E9">
        <v>10.02</v>
      </c>
      <c r="F9">
        <v>4190</v>
      </c>
      <c r="G9">
        <v>4091</v>
      </c>
      <c r="H9" s="1">
        <v>0</v>
      </c>
      <c r="I9" s="2"/>
      <c r="J9" s="2"/>
      <c r="K9" s="2"/>
    </row>
    <row r="10" spans="1:11" x14ac:dyDescent="0.3">
      <c r="A10">
        <v>80</v>
      </c>
      <c r="B10">
        <v>971.8</v>
      </c>
      <c r="C10">
        <f>0.355*10^-3</f>
        <v>3.5500000000000001E-4</v>
      </c>
      <c r="D10">
        <v>0.67</v>
      </c>
      <c r="E10">
        <v>11.18</v>
      </c>
      <c r="F10">
        <v>4196</v>
      </c>
      <c r="G10">
        <v>4084</v>
      </c>
      <c r="H10" s="1">
        <v>0</v>
      </c>
      <c r="I10" s="2"/>
      <c r="J10" s="2"/>
      <c r="K10" s="2"/>
    </row>
    <row r="11" spans="1:11" x14ac:dyDescent="0.3">
      <c r="A11">
        <v>90</v>
      </c>
      <c r="B11">
        <v>965.31</v>
      </c>
      <c r="C11">
        <f>0.317*10^-3</f>
        <v>3.1700000000000001E-4</v>
      </c>
      <c r="D11">
        <v>0.67400000000000004</v>
      </c>
      <c r="E11">
        <v>12.36</v>
      </c>
      <c r="F11">
        <v>4205</v>
      </c>
      <c r="G11">
        <v>4080</v>
      </c>
      <c r="H11" s="1">
        <v>0</v>
      </c>
      <c r="I11" s="2"/>
      <c r="J11" s="2"/>
      <c r="K11" s="2"/>
    </row>
    <row r="12" spans="1:11" x14ac:dyDescent="0.3">
      <c r="A12">
        <v>100</v>
      </c>
      <c r="B12">
        <v>958.35</v>
      </c>
      <c r="C12">
        <f>0.284*10^-3</f>
        <v>2.8399999999999996E-4</v>
      </c>
      <c r="D12">
        <v>0.67700000000000005</v>
      </c>
      <c r="E12">
        <v>13.56</v>
      </c>
      <c r="F12">
        <v>4216</v>
      </c>
      <c r="G12">
        <v>4078</v>
      </c>
      <c r="H12" s="1">
        <v>0</v>
      </c>
      <c r="I12" s="2"/>
      <c r="J12" s="2"/>
      <c r="K12" s="2"/>
    </row>
    <row r="13" spans="1:11" x14ac:dyDescent="0.3">
      <c r="A13" t="s">
        <v>3</v>
      </c>
      <c r="B13" t="s">
        <v>4</v>
      </c>
      <c r="C13" t="s">
        <v>5</v>
      </c>
      <c r="D13" t="s">
        <v>7</v>
      </c>
      <c r="E13" t="s">
        <v>14</v>
      </c>
      <c r="F13" t="s">
        <v>6</v>
      </c>
      <c r="G13" t="s">
        <v>6</v>
      </c>
      <c r="H13" t="s">
        <v>6</v>
      </c>
    </row>
  </sheetData>
  <mergeCells count="1">
    <mergeCell ref="I1:K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B885E-3DAF-45FA-ACB1-8C4D157C19AB}">
  <dimension ref="A1:H12"/>
  <sheetViews>
    <sheetView tabSelected="1" workbookViewId="0">
      <selection activeCell="E15" sqref="E15"/>
    </sheetView>
  </sheetViews>
  <sheetFormatPr defaultRowHeight="14.4" x14ac:dyDescent="0.3"/>
  <cols>
    <col min="1" max="1" width="11.33203125" bestFit="1" customWidth="1"/>
    <col min="2" max="2" width="7" bestFit="1" customWidth="1"/>
    <col min="3" max="3" width="9" bestFit="1" customWidth="1"/>
    <col min="4" max="4" width="17.88671875" bestFit="1" customWidth="1"/>
    <col min="5" max="5" width="19.33203125" bestFit="1" customWidth="1"/>
    <col min="6" max="6" width="14.44140625" bestFit="1" customWidth="1"/>
    <col min="7" max="7" width="13.33203125" bestFit="1" customWidth="1"/>
    <col min="8" max="8" width="14.21875" bestFit="1" customWidth="1"/>
  </cols>
  <sheetData>
    <row r="1" spans="1:8" x14ac:dyDescent="0.3">
      <c r="A1" t="s">
        <v>0</v>
      </c>
      <c r="B1" t="s">
        <v>1</v>
      </c>
      <c r="C1" t="s">
        <v>2</v>
      </c>
      <c r="D1" t="s">
        <v>9</v>
      </c>
      <c r="E1" t="s">
        <v>10</v>
      </c>
      <c r="F1" t="s">
        <v>11</v>
      </c>
      <c r="G1" t="s">
        <v>12</v>
      </c>
      <c r="H1" s="1" t="s">
        <v>13</v>
      </c>
    </row>
    <row r="2" spans="1:8" x14ac:dyDescent="0.3">
      <c r="A2">
        <v>0</v>
      </c>
      <c r="B2">
        <v>999.84</v>
      </c>
      <c r="C2">
        <f>1.792*10^-3</f>
        <v>1.792E-3</v>
      </c>
      <c r="D2">
        <v>0.56100000000000005</v>
      </c>
      <c r="E2">
        <v>2.92</v>
      </c>
      <c r="F2">
        <v>4217</v>
      </c>
      <c r="G2">
        <v>4212</v>
      </c>
      <c r="H2" s="1">
        <v>0</v>
      </c>
    </row>
    <row r="3" spans="1:8" x14ac:dyDescent="0.3">
      <c r="A3">
        <v>10</v>
      </c>
      <c r="B3">
        <v>999.7</v>
      </c>
      <c r="C3">
        <f>1.308*10^-3</f>
        <v>1.3080000000000001E-3</v>
      </c>
      <c r="D3">
        <v>0.57999999999999996</v>
      </c>
      <c r="E3">
        <v>3.8</v>
      </c>
      <c r="F3">
        <v>4192</v>
      </c>
      <c r="G3">
        <v>4188</v>
      </c>
      <c r="H3" s="1">
        <v>0</v>
      </c>
    </row>
    <row r="4" spans="1:8" x14ac:dyDescent="0.3">
      <c r="A4">
        <v>20</v>
      </c>
      <c r="B4">
        <v>998.21</v>
      </c>
      <c r="C4">
        <f>1.002*10^-3</f>
        <v>1.0020000000000001E-3</v>
      </c>
      <c r="D4">
        <v>0.59799999999999998</v>
      </c>
      <c r="E4">
        <v>4.72</v>
      </c>
      <c r="F4">
        <v>4182</v>
      </c>
      <c r="G4">
        <v>4157</v>
      </c>
      <c r="H4" s="1">
        <v>0</v>
      </c>
    </row>
    <row r="5" spans="1:8" x14ac:dyDescent="0.3">
      <c r="A5">
        <v>30</v>
      </c>
      <c r="B5">
        <v>995.65</v>
      </c>
      <c r="C5">
        <f>0.798*10^-3</f>
        <v>7.980000000000001E-4</v>
      </c>
      <c r="D5">
        <v>0.61499999999999999</v>
      </c>
      <c r="E5">
        <v>5.7</v>
      </c>
      <c r="F5">
        <v>4178</v>
      </c>
      <c r="G5">
        <v>4140</v>
      </c>
      <c r="H5" s="1">
        <v>0</v>
      </c>
    </row>
    <row r="6" spans="1:8" x14ac:dyDescent="0.3">
      <c r="A6">
        <v>40</v>
      </c>
      <c r="B6">
        <v>992.22</v>
      </c>
      <c r="C6">
        <f>0.653*10^-3</f>
        <v>6.5300000000000004E-4</v>
      </c>
      <c r="D6">
        <v>0.63100000000000001</v>
      </c>
      <c r="E6">
        <v>6.72</v>
      </c>
      <c r="F6">
        <v>4179</v>
      </c>
      <c r="G6">
        <v>4125</v>
      </c>
      <c r="H6" s="1">
        <v>0</v>
      </c>
    </row>
    <row r="7" spans="1:8" x14ac:dyDescent="0.3">
      <c r="A7">
        <v>50</v>
      </c>
      <c r="B7">
        <v>988.04</v>
      </c>
      <c r="C7">
        <f>0.549*10^-3</f>
        <v>5.4900000000000001E-4</v>
      </c>
      <c r="D7">
        <v>0.64400000000000002</v>
      </c>
      <c r="E7">
        <v>7.79</v>
      </c>
      <c r="F7">
        <v>4181</v>
      </c>
      <c r="G7">
        <v>4112</v>
      </c>
      <c r="H7" s="1">
        <v>0</v>
      </c>
    </row>
    <row r="8" spans="1:8" x14ac:dyDescent="0.3">
      <c r="A8">
        <v>60</v>
      </c>
      <c r="B8">
        <v>983.21</v>
      </c>
      <c r="C8">
        <f>0.467*10^-3</f>
        <v>4.6700000000000002E-4</v>
      </c>
      <c r="D8">
        <v>0.65400000000000003</v>
      </c>
      <c r="E8">
        <v>8.89</v>
      </c>
      <c r="F8">
        <v>4184</v>
      </c>
      <c r="G8">
        <v>4100</v>
      </c>
      <c r="H8" s="1">
        <v>0</v>
      </c>
    </row>
    <row r="9" spans="1:8" x14ac:dyDescent="0.3">
      <c r="A9">
        <v>70</v>
      </c>
      <c r="B9">
        <v>977.78</v>
      </c>
      <c r="C9">
        <f>0.404*10^-3</f>
        <v>4.0400000000000001E-4</v>
      </c>
      <c r="D9">
        <v>0.66300000000000003</v>
      </c>
      <c r="E9">
        <v>10.02</v>
      </c>
      <c r="F9">
        <v>4190</v>
      </c>
      <c r="G9">
        <v>4091</v>
      </c>
      <c r="H9" s="1">
        <v>0</v>
      </c>
    </row>
    <row r="10" spans="1:8" x14ac:dyDescent="0.3">
      <c r="A10">
        <v>80</v>
      </c>
      <c r="B10">
        <v>971.8</v>
      </c>
      <c r="C10">
        <f>0.355*10^-3</f>
        <v>3.5500000000000001E-4</v>
      </c>
      <c r="D10">
        <v>0.67</v>
      </c>
      <c r="E10">
        <v>11.18</v>
      </c>
      <c r="F10">
        <v>4196</v>
      </c>
      <c r="G10">
        <v>4084</v>
      </c>
      <c r="H10" s="1">
        <v>0</v>
      </c>
    </row>
    <row r="11" spans="1:8" x14ac:dyDescent="0.3">
      <c r="A11">
        <v>90</v>
      </c>
      <c r="B11">
        <v>965.31</v>
      </c>
      <c r="C11">
        <f>0.317*10^-3</f>
        <v>3.1700000000000001E-4</v>
      </c>
      <c r="D11">
        <v>0.67400000000000004</v>
      </c>
      <c r="E11">
        <v>12.36</v>
      </c>
      <c r="F11">
        <v>4205</v>
      </c>
      <c r="G11">
        <v>4080</v>
      </c>
      <c r="H11" s="1">
        <v>0</v>
      </c>
    </row>
    <row r="12" spans="1:8" x14ac:dyDescent="0.3">
      <c r="A12">
        <v>100</v>
      </c>
      <c r="B12">
        <v>958.35</v>
      </c>
      <c r="C12">
        <f>0.284*10^-3</f>
        <v>2.8399999999999996E-4</v>
      </c>
      <c r="D12">
        <v>0.67700000000000005</v>
      </c>
      <c r="E12">
        <v>13.56</v>
      </c>
      <c r="F12">
        <v>4216</v>
      </c>
      <c r="G12">
        <v>4078</v>
      </c>
      <c r="H12" s="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Property Charts</vt:lpstr>
      <vt:lpstr>35PSU Saltwater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Davis</dc:creator>
  <cp:lastModifiedBy>Gabriel Davis</cp:lastModifiedBy>
  <dcterms:created xsi:type="dcterms:W3CDTF">2026-06-10T22:44:27Z</dcterms:created>
  <dcterms:modified xsi:type="dcterms:W3CDTF">2026-06-10T23:08:15Z</dcterms:modified>
</cp:coreProperties>
</file>